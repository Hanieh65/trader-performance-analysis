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nie\Downloads\Telegram Desktop\project 2\"/>
    </mc:Choice>
  </mc:AlternateContent>
  <xr:revisionPtr revIDLastSave="0" documentId="13_ncr:1_{291AAF32-8E35-4336-A7E4-F03420F13A20}" xr6:coauthVersionLast="47" xr6:coauthVersionMax="47" xr10:uidLastSave="{00000000-0000-0000-0000-000000000000}"/>
  <bookViews>
    <workbookView xWindow="-110" yWindow="-110" windowWidth="19420" windowHeight="11500" activeTab="2" xr2:uid="{9F12BEF5-F147-4BFB-B129-4955707C57D1}"/>
  </bookViews>
  <sheets>
    <sheet name="SQL OUTPUT" sheetId="11" r:id="rId1"/>
    <sheet name="dashboard" sheetId="15" r:id="rId2"/>
    <sheet name="pivot_tables" sheetId="3" r:id="rId3"/>
  </sheets>
  <calcPr calcId="0"/>
  <pivotCaches>
    <pivotCache cacheId="0" r:id="rId4"/>
    <pivotCache cacheId="1" r:id="rId5"/>
    <pivotCache cacheId="2" r:id="rId6"/>
  </pivotCaches>
</workbook>
</file>

<file path=xl/sharedStrings.xml><?xml version="1.0" encoding="utf-8"?>
<sst xmlns="http://schemas.openxmlformats.org/spreadsheetml/2006/main" count="42" uniqueCount="33">
  <si>
    <t>name</t>
  </si>
  <si>
    <t>trader_id</t>
  </si>
  <si>
    <t>total_balance</t>
  </si>
  <si>
    <t>Trader_963</t>
  </si>
  <si>
    <t>Trader_271</t>
  </si>
  <si>
    <t>Trader_25</t>
  </si>
  <si>
    <t>Trader_47</t>
  </si>
  <si>
    <t>Trader_146</t>
  </si>
  <si>
    <t>Trader_151</t>
  </si>
  <si>
    <t>Trader_762</t>
  </si>
  <si>
    <t>Trader_892</t>
  </si>
  <si>
    <t>Trader_740</t>
  </si>
  <si>
    <t>Trader_605</t>
  </si>
  <si>
    <t>Row Labels</t>
  </si>
  <si>
    <t>Grand Total</t>
  </si>
  <si>
    <t>Sum of total_profit</t>
  </si>
  <si>
    <t>month</t>
  </si>
  <si>
    <t>net_profit</t>
  </si>
  <si>
    <t>total_trades</t>
  </si>
  <si>
    <t>year</t>
  </si>
  <si>
    <t>Average PROFIT</t>
  </si>
  <si>
    <t>Sum of net_profit</t>
  </si>
  <si>
    <t>Sum of total_trades</t>
  </si>
  <si>
    <t>net_pnl</t>
  </si>
  <si>
    <t>QUERY 1:TOP 10 MONTH BY PROFIT</t>
  </si>
  <si>
    <t>QUERY 2:TOP 10 MONTH BY ACTIVITY</t>
  </si>
  <si>
    <t>QUERY3 :TOP 10 TRADER BY PROFIT</t>
  </si>
  <si>
    <t>chart 1:top_10_month_by_activity</t>
  </si>
  <si>
    <t>chart 2: top_10_trader_by_net profit</t>
  </si>
  <si>
    <t>chart 3: top_10_month_by_net_profit</t>
  </si>
  <si>
    <t>pivot table 1 - Top 10 Trader By Net Profit</t>
  </si>
  <si>
    <t>pivot table 3 -Top 10 Month By Profit</t>
  </si>
  <si>
    <t>Pivot table 2 - Top 10 Month By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</si>
</sst>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914260717410325E-2"/>
          <c:y val="0.16431722076407113"/>
          <c:w val="0.46018372703412075"/>
          <c:h val="0.58196485855934676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total_trades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2022 5</c:v>
              </c:pt>
              <c:pt idx="1">
                <c:v>2022 8</c:v>
              </c:pt>
              <c:pt idx="2">
                <c:v>2022 12</c:v>
              </c:pt>
              <c:pt idx="3">
                <c:v>2023 1</c:v>
              </c:pt>
              <c:pt idx="4">
                <c:v>2023 4</c:v>
              </c:pt>
              <c:pt idx="5">
                <c:v>2023 7</c:v>
              </c:pt>
              <c:pt idx="6">
                <c:v>2023 10</c:v>
              </c:pt>
              <c:pt idx="7">
                <c:v>2023 12</c:v>
              </c:pt>
              <c:pt idx="8">
                <c:v>2024 1</c:v>
              </c:pt>
              <c:pt idx="9">
                <c:v>2024 5</c:v>
              </c:pt>
            </c:strLit>
          </c:cat>
          <c:val>
            <c:numLit>
              <c:formatCode>General</c:formatCode>
              <c:ptCount val="10"/>
              <c:pt idx="0">
                <c:v>1757</c:v>
              </c:pt>
              <c:pt idx="1">
                <c:v>1839</c:v>
              </c:pt>
              <c:pt idx="2">
                <c:v>1858</c:v>
              </c:pt>
              <c:pt idx="3">
                <c:v>1757</c:v>
              </c:pt>
              <c:pt idx="4">
                <c:v>1696</c:v>
              </c:pt>
              <c:pt idx="5">
                <c:v>1697</c:v>
              </c:pt>
              <c:pt idx="6">
                <c:v>1733</c:v>
              </c:pt>
              <c:pt idx="7">
                <c:v>1746</c:v>
              </c:pt>
              <c:pt idx="8">
                <c:v>1804</c:v>
              </c:pt>
              <c:pt idx="9">
                <c:v>1750</c:v>
              </c:pt>
            </c:numLit>
          </c:val>
          <c:extLst>
            <c:ext xmlns:c16="http://schemas.microsoft.com/office/drawing/2014/chart" uri="{C3380CC4-5D6E-409C-BE32-E72D297353CC}">
              <c16:uniqueId val="{00000000-88F5-41E6-8923-85D452DC3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9307039"/>
        <c:axId val="1519316639"/>
      </c:barChart>
      <c:lineChart>
        <c:grouping val="standard"/>
        <c:varyColors val="0"/>
        <c:ser>
          <c:idx val="1"/>
          <c:order val="1"/>
          <c:tx>
            <c:v>Sum of net_profit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2022 5</c:v>
              </c:pt>
              <c:pt idx="1">
                <c:v>2022 8</c:v>
              </c:pt>
              <c:pt idx="2">
                <c:v>2022 12</c:v>
              </c:pt>
              <c:pt idx="3">
                <c:v>2023 1</c:v>
              </c:pt>
              <c:pt idx="4">
                <c:v>2023 4</c:v>
              </c:pt>
              <c:pt idx="5">
                <c:v>2023 7</c:v>
              </c:pt>
              <c:pt idx="6">
                <c:v>2023 10</c:v>
              </c:pt>
              <c:pt idx="7">
                <c:v>2023 12</c:v>
              </c:pt>
              <c:pt idx="8">
                <c:v>2024 1</c:v>
              </c:pt>
              <c:pt idx="9">
                <c:v>2024 5</c:v>
              </c:pt>
            </c:strLit>
          </c:cat>
          <c:val>
            <c:numLit>
              <c:formatCode>General</c:formatCode>
              <c:ptCount val="10"/>
              <c:pt idx="0">
                <c:v>-5613161.8399999999</c:v>
              </c:pt>
              <c:pt idx="1">
                <c:v>1932757.2099999499</c:v>
              </c:pt>
              <c:pt idx="2">
                <c:v>-75454041.550000101</c:v>
              </c:pt>
              <c:pt idx="3">
                <c:v>-35800795.289999999</c:v>
              </c:pt>
              <c:pt idx="4">
                <c:v>15140162.679999899</c:v>
              </c:pt>
              <c:pt idx="5">
                <c:v>1542589.9599999599</c:v>
              </c:pt>
              <c:pt idx="6">
                <c:v>-25987653.239999998</c:v>
              </c:pt>
              <c:pt idx="7">
                <c:v>25406276.339999899</c:v>
              </c:pt>
              <c:pt idx="8">
                <c:v>60694396.979999997</c:v>
              </c:pt>
              <c:pt idx="9">
                <c:v>-87989210.7099998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8F5-41E6-8923-85D452DC3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328159"/>
        <c:axId val="1519327679"/>
      </c:lineChart>
      <c:catAx>
        <c:axId val="151930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316639"/>
        <c:crosses val="autoZero"/>
        <c:auto val="1"/>
        <c:lblAlgn val="ctr"/>
        <c:lblOffset val="100"/>
        <c:noMultiLvlLbl val="0"/>
      </c:catAx>
      <c:valAx>
        <c:axId val="151931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307039"/>
        <c:crosses val="autoZero"/>
        <c:crossBetween val="between"/>
      </c:valAx>
      <c:valAx>
        <c:axId val="15193276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328159"/>
        <c:crosses val="max"/>
        <c:crossBetween val="between"/>
      </c:valAx>
      <c:catAx>
        <c:axId val="1519328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9327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[trader analysing project .xlsx]pivot_tables!PivotTable13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pivot_tables!$B$6</c:f>
              <c:strCache>
                <c:ptCount val="1"/>
                <c:pt idx="0">
                  <c:v>Average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pivot_tables!$A$7:$A$17</c:f>
              <c:strCache>
                <c:ptCount val="10"/>
                <c:pt idx="0">
                  <c:v>963</c:v>
                </c:pt>
                <c:pt idx="1">
                  <c:v>271</c:v>
                </c:pt>
                <c:pt idx="2">
                  <c:v>25</c:v>
                </c:pt>
                <c:pt idx="3">
                  <c:v>47</c:v>
                </c:pt>
                <c:pt idx="4">
                  <c:v>146</c:v>
                </c:pt>
                <c:pt idx="5">
                  <c:v>151</c:v>
                </c:pt>
                <c:pt idx="6">
                  <c:v>762</c:v>
                </c:pt>
                <c:pt idx="7">
                  <c:v>892</c:v>
                </c:pt>
                <c:pt idx="8">
                  <c:v>740</c:v>
                </c:pt>
                <c:pt idx="9">
                  <c:v>605</c:v>
                </c:pt>
              </c:strCache>
            </c:strRef>
          </c:cat>
          <c:val>
            <c:numRef>
              <c:f>pivot_tables!$B$7:$B$17</c:f>
              <c:numCache>
                <c:formatCode>General</c:formatCode>
                <c:ptCount val="10"/>
                <c:pt idx="0">
                  <c:v>18817170.323999949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E-4A2D-A91D-6DC5162A7BBE}"/>
            </c:ext>
          </c:extLst>
        </c:ser>
        <c:ser>
          <c:idx val="1"/>
          <c:order val="1"/>
          <c:tx>
            <c:strRef>
              <c:f>pivot_tables!$C$6</c:f>
              <c:strCache>
                <c:ptCount val="1"/>
                <c:pt idx="0">
                  <c:v>Sum of total_profit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pivot_tables!$A$7:$A$17</c:f>
              <c:strCache>
                <c:ptCount val="10"/>
                <c:pt idx="0">
                  <c:v>963</c:v>
                </c:pt>
                <c:pt idx="1">
                  <c:v>271</c:v>
                </c:pt>
                <c:pt idx="2">
                  <c:v>25</c:v>
                </c:pt>
                <c:pt idx="3">
                  <c:v>47</c:v>
                </c:pt>
                <c:pt idx="4">
                  <c:v>146</c:v>
                </c:pt>
                <c:pt idx="5">
                  <c:v>151</c:v>
                </c:pt>
                <c:pt idx="6">
                  <c:v>762</c:v>
                </c:pt>
                <c:pt idx="7">
                  <c:v>892</c:v>
                </c:pt>
                <c:pt idx="8">
                  <c:v>740</c:v>
                </c:pt>
                <c:pt idx="9">
                  <c:v>605</c:v>
                </c:pt>
              </c:strCache>
            </c:strRef>
          </c:cat>
          <c:val>
            <c:numRef>
              <c:f>pivot_tables!$C$7:$C$17</c:f>
              <c:numCache>
                <c:formatCode>General</c:formatCode>
                <c:ptCount val="10"/>
                <c:pt idx="0">
                  <c:v>22711850.149999999</c:v>
                </c:pt>
                <c:pt idx="1">
                  <c:v>21592845.09</c:v>
                </c:pt>
                <c:pt idx="2">
                  <c:v>20471093.440000001</c:v>
                </c:pt>
                <c:pt idx="3">
                  <c:v>18760530.439999901</c:v>
                </c:pt>
                <c:pt idx="4">
                  <c:v>18133620.300000001</c:v>
                </c:pt>
                <c:pt idx="5">
                  <c:v>17732754.789999999</c:v>
                </c:pt>
                <c:pt idx="6">
                  <c:v>17466361.029999901</c:v>
                </c:pt>
                <c:pt idx="7">
                  <c:v>17258321.8899999</c:v>
                </c:pt>
                <c:pt idx="8">
                  <c:v>17093526.439999901</c:v>
                </c:pt>
                <c:pt idx="9">
                  <c:v>16950799.669999901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E-4CF7-AA2B-121FDCE6E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0039120"/>
        <c:axId val="1470033840"/>
      </c:barChart>
      <c:catAx>
        <c:axId val="147003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33840"/>
        <c:crosses val="autoZero"/>
        <c:auto val="1"/>
        <c:lblAlgn val="ctr"/>
        <c:lblOffset val="100"/>
        <c:noMultiLvlLbl val="0"/>
      </c:catAx>
      <c:valAx>
        <c:axId val="147003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3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month by 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2022</c:v>
              </c:pt>
              <c:pt idx="1">
                <c:v>2023</c:v>
              </c:pt>
              <c:pt idx="2">
                <c:v>2024</c:v>
              </c:pt>
            </c:strLit>
          </c:cat>
          <c:val>
            <c:numLit>
              <c:formatCode>General</c:formatCode>
              <c:ptCount val="3"/>
              <c:pt idx="0">
                <c:v>-11758574.33</c:v>
              </c:pt>
              <c:pt idx="1">
                <c:v>48069400.189999998</c:v>
              </c:pt>
              <c:pt idx="2">
                <c:v>-17336250.02</c:v>
              </c:pt>
            </c:numLit>
          </c:val>
          <c:extLst>
            <c:ext xmlns:c16="http://schemas.microsoft.com/office/drawing/2014/chart" uri="{C3380CC4-5D6E-409C-BE32-E72D297353CC}">
              <c16:uniqueId val="{00000000-062E-4176-AF0A-663672647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310879"/>
        <c:axId val="1519307039"/>
        <c:axId val="0"/>
      </c:bar3DChart>
      <c:catAx>
        <c:axId val="151931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307039"/>
        <c:crosses val="autoZero"/>
        <c:auto val="1"/>
        <c:lblAlgn val="ctr"/>
        <c:lblOffset val="100"/>
        <c:noMultiLvlLbl val="0"/>
      </c:catAx>
      <c:valAx>
        <c:axId val="151930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31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12</xdr:row>
      <xdr:rowOff>12700</xdr:rowOff>
    </xdr:from>
    <xdr:to>
      <xdr:col>7</xdr:col>
      <xdr:colOff>355600</xdr:colOff>
      <xdr:row>26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A1D1E8-302E-45DD-93A2-A10AE0565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16</xdr:col>
      <xdr:colOff>304800</xdr:colOff>
      <xdr:row>26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F2C5D0-5CE5-45F5-8ECE-8A296C372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12</xdr:row>
      <xdr:rowOff>0</xdr:rowOff>
    </xdr:from>
    <xdr:to>
      <xdr:col>25</xdr:col>
      <xdr:colOff>304800</xdr:colOff>
      <xdr:row>26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06E8DCE-132A-4C7D-888F-C7C85A531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228600</xdr:colOff>
      <xdr:row>28</xdr:row>
      <xdr:rowOff>19050</xdr:rowOff>
    </xdr:from>
    <xdr:ext cx="3549650" cy="3026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C4CBFF0-9F49-6380-E7BA-834D4AA36F1A}"/>
            </a:ext>
          </a:extLst>
        </xdr:cNvPr>
        <xdr:cNvSpPr txBox="1"/>
      </xdr:nvSpPr>
      <xdr:spPr>
        <a:xfrm>
          <a:off x="5715000" y="4521200"/>
          <a:ext cx="3549650" cy="3026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0</xdr:col>
      <xdr:colOff>260350</xdr:colOff>
      <xdr:row>1</xdr:row>
      <xdr:rowOff>6350</xdr:rowOff>
    </xdr:from>
    <xdr:ext cx="5054600" cy="165801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98FEE3-A020-4810-4B6D-3752CCD88319}"/>
            </a:ext>
          </a:extLst>
        </xdr:cNvPr>
        <xdr:cNvSpPr txBox="1"/>
      </xdr:nvSpPr>
      <xdr:spPr>
        <a:xfrm>
          <a:off x="260350" y="190500"/>
          <a:ext cx="5054600" cy="16580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/>
            <a:t>This analysis evaluates</a:t>
          </a:r>
          <a:r>
            <a:rPr lang="en-GB" sz="1100" baseline="0"/>
            <a:t> trading performance over two-year period.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/>
            <a:t>The </a:t>
          </a:r>
          <a:r>
            <a:rPr lang="en-GB" sz="1200" b="1" baseline="0"/>
            <a:t>total net profit </a:t>
          </a:r>
          <a:r>
            <a:rPr lang="en-GB" sz="1100" baseline="0"/>
            <a:t>reaches </a:t>
          </a:r>
          <a:r>
            <a:rPr lang="en-GB" sz="1200" b="1"/>
            <a:t>-50963786.83 </a:t>
          </a:r>
          <a:r>
            <a:rPr lang="en-GB"/>
            <a:t>, generated from 50000 </a:t>
          </a:r>
          <a:r>
            <a:rPr lang="en-GB" sz="1200" b="1"/>
            <a:t>Total Trades.</a:t>
          </a:r>
          <a:endParaRPr lang="en-GB" sz="11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/>
            <a:t>While</a:t>
          </a:r>
          <a:r>
            <a:rPr lang="en-GB" sz="1100" b="0" baseline="0"/>
            <a:t> certain months recorded exceptionally high activity (e.g, 2022-12 with 1,858 trades), higher trading volume did not consistently result in higher profitability and overall profitability remained negative, suggesting that increased trading ferequantly did not translate into improved performance.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 b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top_10_month_by_activity.csv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top_10_month_by_PROFIT.csv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ieh Ahmadi" refreshedDate="46074.544634606478" createdVersion="8" refreshedVersion="8" minRefreshableVersion="3" recordCount="10" xr:uid="{1F77E436-914E-4FC8-9748-108835A7992B}">
  <cacheSource type="worksheet">
    <worksheetSource name="Table1"/>
  </cacheSource>
  <cacheFields count="5">
    <cacheField name="name" numFmtId="0">
      <sharedItems/>
    </cacheField>
    <cacheField name="trader_id" numFmtId="0">
      <sharedItems containsSemiMixedTypes="0" containsString="0" containsNumber="1" containsInteger="1" minValue="25" maxValue="963" count="10">
        <n v="963"/>
        <n v="271"/>
        <n v="25"/>
        <n v="47"/>
        <n v="146"/>
        <n v="151"/>
        <n v="762"/>
        <n v="892"/>
        <n v="740"/>
        <n v="605"/>
      </sharedItems>
    </cacheField>
    <cacheField name="total_balance" numFmtId="0">
      <sharedItems containsSemiMixedTypes="0" containsString="0" containsNumber="1" minValue="11256301.279999999" maxValue="26405386.239999998"/>
    </cacheField>
    <cacheField name="total_profit" numFmtId="0">
      <sharedItems containsSemiMixedTypes="0" containsString="0" containsNumber="1" minValue="16950799.669999901" maxValue="22711850.149999999"/>
    </cacheField>
    <cacheField name="AVERAGE_PROFIT" numFmtId="0">
      <sharedItems containsString="0" containsBlank="1" containsNumber="1" minValue="18817170.323999949" maxValue="18817170.323999949" count="2">
        <n v="18817170.32399994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ieh Ahmadi" refreshedDate="46085.844508680559" createdVersion="8" refreshedVersion="8" minRefreshableVersion="3" recordCount="10" xr:uid="{9E6BB61B-58B0-4B4D-A1AE-907B6A98AE5C}">
  <cacheSource type="worksheet">
    <worksheetSource name="Table1" r:id="rId2"/>
  </cacheSource>
  <cacheFields count="4"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month" numFmtId="0">
      <sharedItems containsSemiMixedTypes="0" containsString="0" containsNumber="1" containsInteger="1" minValue="1" maxValue="12" count="7">
        <n v="12"/>
        <n v="8"/>
        <n v="1"/>
        <n v="5"/>
        <n v="10"/>
        <n v="7"/>
        <n v="4"/>
      </sharedItems>
    </cacheField>
    <cacheField name="total_trades" numFmtId="0">
      <sharedItems containsSemiMixedTypes="0" containsString="0" containsNumber="1" containsInteger="1" minValue="1696" maxValue="1858"/>
    </cacheField>
    <cacheField name="net_profit" numFmtId="0">
      <sharedItems containsSemiMixedTypes="0" containsString="0" containsNumber="1" minValue="-87989210.7099998" maxValue="60694396.97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ieh Ahmadi" refreshedDate="46085.846638773146" createdVersion="8" refreshedVersion="8" minRefreshableVersion="3" recordCount="30" xr:uid="{1B38902B-0468-4A0C-A75E-592EE88EA7B5}">
  <cacheSource type="worksheet">
    <worksheetSource name="Table1" r:id="rId2"/>
  </cacheSource>
  <cacheFields count="3">
    <cacheField name="year" numFmtId="0">
      <sharedItems containsSemiMixedTypes="0" containsString="0" containsNumber="1" containsInteger="1" minValue="2022" maxValue="2024" count="3">
        <n v="2024"/>
        <n v="2023"/>
        <n v="2022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11"/>
        <n v="3"/>
        <n v="12"/>
        <n v="7"/>
        <n v="9"/>
        <n v="10"/>
        <n v="4"/>
        <n v="8"/>
        <n v="5"/>
        <n v="6"/>
      </sharedItems>
    </cacheField>
    <cacheField name="net_profit" numFmtId="0">
      <sharedItems containsSemiMixedTypes="0" containsString="0" containsNumber="1" minValue="-87989210.709999993" maxValue="60694396.97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Trader_963"/>
    <x v="0"/>
    <n v="17131132.48"/>
    <n v="22711850.149999999"/>
    <x v="0"/>
  </r>
  <r>
    <s v="Trader_271"/>
    <x v="1"/>
    <n v="24654555.25"/>
    <n v="21592845.09"/>
    <x v="1"/>
  </r>
  <r>
    <s v="Trader_25"/>
    <x v="2"/>
    <n v="17824571.100000001"/>
    <n v="20471093.440000001"/>
    <x v="1"/>
  </r>
  <r>
    <s v="Trader_47"/>
    <x v="3"/>
    <n v="22411811.609999999"/>
    <n v="18760530.439999901"/>
    <x v="1"/>
  </r>
  <r>
    <s v="Trader_146"/>
    <x v="4"/>
    <n v="12347454.079999899"/>
    <n v="18133620.300000001"/>
    <x v="1"/>
  </r>
  <r>
    <s v="Trader_151"/>
    <x v="5"/>
    <n v="15482261.7199999"/>
    <n v="17732754.789999999"/>
    <x v="1"/>
  </r>
  <r>
    <s v="Trader_762"/>
    <x v="6"/>
    <n v="12243712.7999999"/>
    <n v="17466361.029999901"/>
    <x v="1"/>
  </r>
  <r>
    <s v="Trader_892"/>
    <x v="7"/>
    <n v="26405386.239999998"/>
    <n v="17258321.8899999"/>
    <x v="1"/>
  </r>
  <r>
    <s v="Trader_740"/>
    <x v="8"/>
    <n v="11256301.279999999"/>
    <n v="17093526.439999901"/>
    <x v="1"/>
  </r>
  <r>
    <s v="Trader_605"/>
    <x v="9"/>
    <n v="14979992.0399999"/>
    <n v="16950799.66999990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1858"/>
    <n v="-75454041.550000101"/>
  </r>
  <r>
    <x v="0"/>
    <x v="1"/>
    <n v="1839"/>
    <n v="1932757.2099999499"/>
  </r>
  <r>
    <x v="1"/>
    <x v="2"/>
    <n v="1804"/>
    <n v="60694396.979999997"/>
  </r>
  <r>
    <x v="2"/>
    <x v="2"/>
    <n v="1757"/>
    <n v="-35800795.289999999"/>
  </r>
  <r>
    <x v="0"/>
    <x v="3"/>
    <n v="1757"/>
    <n v="-5613161.8399999999"/>
  </r>
  <r>
    <x v="1"/>
    <x v="3"/>
    <n v="1750"/>
    <n v="-87989210.7099998"/>
  </r>
  <r>
    <x v="2"/>
    <x v="0"/>
    <n v="1746"/>
    <n v="25406276.339999899"/>
  </r>
  <r>
    <x v="2"/>
    <x v="4"/>
    <n v="1733"/>
    <n v="-25987653.239999998"/>
  </r>
  <r>
    <x v="2"/>
    <x v="5"/>
    <n v="1697"/>
    <n v="1542589.9599999599"/>
  </r>
  <r>
    <x v="2"/>
    <x v="6"/>
    <n v="1696"/>
    <n v="15140162.6799998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60694396.979999997"/>
  </r>
  <r>
    <x v="1"/>
    <x v="1"/>
    <n v="48069400.189999998"/>
  </r>
  <r>
    <x v="1"/>
    <x v="2"/>
    <n v="46256278.859999999"/>
  </r>
  <r>
    <x v="1"/>
    <x v="3"/>
    <n v="42611785.740000002"/>
  </r>
  <r>
    <x v="1"/>
    <x v="4"/>
    <n v="25406276.34"/>
  </r>
  <r>
    <x v="2"/>
    <x v="5"/>
    <n v="20778154.579999998"/>
  </r>
  <r>
    <x v="1"/>
    <x v="6"/>
    <n v="19958133.460000001"/>
  </r>
  <r>
    <x v="2"/>
    <x v="7"/>
    <n v="16567597.24"/>
  </r>
  <r>
    <x v="1"/>
    <x v="8"/>
    <n v="15140162.68"/>
  </r>
  <r>
    <x v="1"/>
    <x v="9"/>
    <n v="13812296.869999999"/>
  </r>
  <r>
    <x v="1"/>
    <x v="10"/>
    <n v="10191846.59"/>
  </r>
  <r>
    <x v="2"/>
    <x v="6"/>
    <n v="9785004.0600000005"/>
  </r>
  <r>
    <x v="2"/>
    <x v="0"/>
    <n v="6605497.75"/>
  </r>
  <r>
    <x v="0"/>
    <x v="3"/>
    <n v="5263153.58"/>
  </r>
  <r>
    <x v="2"/>
    <x v="9"/>
    <n v="1932757.21"/>
  </r>
  <r>
    <x v="1"/>
    <x v="5"/>
    <n v="1542589.96"/>
  </r>
  <r>
    <x v="0"/>
    <x v="11"/>
    <n v="942940.31"/>
  </r>
  <r>
    <x v="2"/>
    <x v="2"/>
    <n v="670477.32999999996"/>
  </r>
  <r>
    <x v="0"/>
    <x v="8"/>
    <n v="-3668270.64"/>
  </r>
  <r>
    <x v="2"/>
    <x v="10"/>
    <n v="-5613161.8399999999"/>
  </r>
  <r>
    <x v="1"/>
    <x v="11"/>
    <n v="-9056181.0299999993"/>
  </r>
  <r>
    <x v="2"/>
    <x v="1"/>
    <n v="-11758574.33"/>
  </r>
  <r>
    <x v="0"/>
    <x v="1"/>
    <n v="-17336250.02"/>
  </r>
  <r>
    <x v="1"/>
    <x v="7"/>
    <n v="-25987653.239999998"/>
  </r>
  <r>
    <x v="1"/>
    <x v="0"/>
    <n v="-35800795.289999999"/>
  </r>
  <r>
    <x v="2"/>
    <x v="11"/>
    <n v="-38172187.960000001"/>
  </r>
  <r>
    <x v="2"/>
    <x v="3"/>
    <n v="-41560265.43"/>
  </r>
  <r>
    <x v="2"/>
    <x v="8"/>
    <n v="-44795944.520000003"/>
  </r>
  <r>
    <x v="2"/>
    <x v="4"/>
    <n v="-75454041.549999997"/>
  </r>
  <r>
    <x v="0"/>
    <x v="10"/>
    <n v="-87989210.70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20DD5-3CC0-4953-9A2F-48EDB1D1DA1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6:C17" firstHeaderRow="0" firstDataRow="1" firstDataCol="1"/>
  <pivotFields count="5">
    <pivotField showAll="0"/>
    <pivotField axis="axisRow" showAll="0" sortType="descending">
      <items count="11">
        <item x="2"/>
        <item x="3"/>
        <item x="4"/>
        <item x="5"/>
        <item x="1"/>
        <item x="9"/>
        <item x="8"/>
        <item x="6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dataField="1" showAll="0">
      <items count="3">
        <item x="0"/>
        <item x="1"/>
        <item t="default"/>
      </items>
    </pivotField>
  </pivotFields>
  <rowFields count="1">
    <field x="1"/>
  </rowFields>
  <rowItems count="11">
    <i>
      <x v="9"/>
    </i>
    <i>
      <x v="4"/>
    </i>
    <i>
      <x/>
    </i>
    <i>
      <x v="1"/>
    </i>
    <i>
      <x v="2"/>
    </i>
    <i>
      <x v="3"/>
    </i>
    <i>
      <x v="7"/>
    </i>
    <i>
      <x v="8"/>
    </i>
    <i>
      <x v="6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PROFIT" fld="4" subtotal="average" baseField="1" baseItem="0"/>
    <dataField name="Sum of total_profit" fld="3" baseField="0" baseItem="0"/>
  </dataFields>
  <chartFormats count="2"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56FF3-C30C-49A7-863C-151887C3AAF1}" name="PivotTable2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8:M12" firstHeaderRow="1" firstDataRow="1" firstDataCol="1" rowPageCount="1" colPageCount="1"/>
  <pivotFields count="3">
    <pivotField axis="axisRow" showAll="0">
      <items count="4">
        <item x="2"/>
        <item x="1"/>
        <item x="0"/>
        <item t="default"/>
      </items>
    </pivotField>
    <pivotField axis="axisPage" showAll="0">
      <items count="13">
        <item x="0"/>
        <item x="1"/>
        <item x="3"/>
        <item x="8"/>
        <item x="10"/>
        <item x="11"/>
        <item x="5"/>
        <item x="9"/>
        <item x="6"/>
        <item x="7"/>
        <item x="2"/>
        <item x="4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0" hier="-1"/>
  </pageFields>
  <dataFields count="1">
    <dataField name="Sum of net_profi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04687-641A-4262-8591-0DCA93E57AD8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H9" firstHeaderRow="1" firstDataRow="1" firstDataCol="1" rowPageCount="1" colPageCount="1"/>
  <pivotFields count="4">
    <pivotField axis="axisRow" showAll="0">
      <items count="4">
        <item x="0"/>
        <item x="2"/>
        <item x="1"/>
        <item t="default"/>
      </items>
    </pivotField>
    <pivotField axis="axisPage" showAll="0">
      <items count="8">
        <item x="2"/>
        <item x="6"/>
        <item x="3"/>
        <item x="5"/>
        <item x="1"/>
        <item x="4"/>
        <item x="0"/>
        <item t="default"/>
      </items>
    </pivotField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" item="6" hier="-1"/>
  </pageFields>
  <dataFields count="1">
    <dataField name="Sum of total_trad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D0D0A94-F98B-4780-85F1-9F836F9D780F}" name="Table312" displayName="Table312" ref="H3:K13" totalsRowShown="0">
  <autoFilter ref="H3:K13" xr:uid="{7D0D0A94-F98B-4780-85F1-9F836F9D780F}"/>
  <tableColumns count="4">
    <tableColumn id="1" xr3:uid="{646CC785-CC7F-4354-BB7D-80B2F41BFAE8}" name="year"/>
    <tableColumn id="2" xr3:uid="{C27E2B25-8E33-4659-8034-747F200D2095}" name="month"/>
    <tableColumn id="3" xr3:uid="{CFDA686B-80FC-419B-8440-1DD1D89B680F}" name="total_trades"/>
    <tableColumn id="4" xr3:uid="{F586D183-73FD-4975-A9F4-7279986ECDEC}" name="net_profi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17A1E75-DFC3-46E9-BD39-6FF7C229B2D4}" name="Table11718" displayName="Table11718" ref="A3:C13" totalsRowShown="0">
  <autoFilter ref="A3:C13" xr:uid="{B17A1E75-DFC3-46E9-BD39-6FF7C229B2D4}"/>
  <tableColumns count="3">
    <tableColumn id="1" xr3:uid="{21642FC7-8840-4BE5-975B-10C9758EFBA7}" name="year"/>
    <tableColumn id="2" xr3:uid="{651E6780-26AF-4BD7-9B84-BF1721B133A9}" name="month"/>
    <tableColumn id="3" xr3:uid="{2632456F-2582-4782-A3C1-7135B6B445CF}" name="net_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01A4C-2223-46ED-8A1A-0C138A5887A2}" name="Table123" displayName="Table123" ref="P3:S13" totalsRowShown="0">
  <autoFilter ref="P3:S13" xr:uid="{90D01A4C-2223-46ED-8A1A-0C138A5887A2}"/>
  <tableColumns count="4">
    <tableColumn id="1" xr3:uid="{4286B162-97ED-4B48-96C5-DFB166603948}" name="name"/>
    <tableColumn id="2" xr3:uid="{14045114-4B6E-4A93-8CAC-6DBDC770ECCE}" name="trader_id"/>
    <tableColumn id="3" xr3:uid="{2FC8FE3A-ED7F-426A-8BF6-1167A99237CE}" name="total_balance"/>
    <tableColumn id="4" xr3:uid="{D5DF3E70-ED51-4213-8E04-CA94215A3C94}" name="net_pnl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2F27-4861-41B9-9FE3-6A61E11FE808}">
  <dimension ref="A1:S13"/>
  <sheetViews>
    <sheetView showGridLines="0" topLeftCell="D1" workbookViewId="0">
      <selection activeCell="R21" sqref="R21"/>
    </sheetView>
  </sheetViews>
  <sheetFormatPr defaultRowHeight="14.5" x14ac:dyDescent="0.35"/>
  <cols>
    <col min="1" max="1" width="7.26953125" customWidth="1"/>
    <col min="2" max="2" width="9.7265625" customWidth="1"/>
    <col min="3" max="3" width="13" customWidth="1"/>
    <col min="9" max="9" width="8.54296875" bestFit="1" customWidth="1"/>
    <col min="10" max="10" width="13" bestFit="1" customWidth="1"/>
    <col min="11" max="11" width="12.453125" bestFit="1" customWidth="1"/>
    <col min="16" max="16" width="9.81640625" bestFit="1" customWidth="1"/>
    <col min="17" max="17" width="11.36328125" customWidth="1"/>
    <col min="18" max="18" width="17.81640625" bestFit="1" customWidth="1"/>
    <col min="19" max="19" width="11.81640625" bestFit="1" customWidth="1"/>
  </cols>
  <sheetData>
    <row r="1" spans="1:19" ht="21" x14ac:dyDescent="0.5">
      <c r="A1" s="4" t="s">
        <v>24</v>
      </c>
      <c r="H1" s="4" t="s">
        <v>25</v>
      </c>
      <c r="P1" s="5" t="s">
        <v>26</v>
      </c>
    </row>
    <row r="3" spans="1:19" x14ac:dyDescent="0.35">
      <c r="A3" t="s">
        <v>19</v>
      </c>
      <c r="B3" t="s">
        <v>16</v>
      </c>
      <c r="C3" t="s">
        <v>17</v>
      </c>
      <c r="H3" t="s">
        <v>19</v>
      </c>
      <c r="I3" t="s">
        <v>16</v>
      </c>
      <c r="J3" t="s">
        <v>18</v>
      </c>
      <c r="K3" t="s">
        <v>17</v>
      </c>
      <c r="P3" t="s">
        <v>0</v>
      </c>
      <c r="Q3" t="s">
        <v>1</v>
      </c>
      <c r="R3" t="s">
        <v>2</v>
      </c>
      <c r="S3" t="s">
        <v>23</v>
      </c>
    </row>
    <row r="4" spans="1:19" ht="18.5" x14ac:dyDescent="0.45">
      <c r="A4">
        <v>2024</v>
      </c>
      <c r="B4">
        <v>1</v>
      </c>
      <c r="C4">
        <v>60694396.979999997</v>
      </c>
      <c r="H4">
        <v>2022</v>
      </c>
      <c r="I4">
        <v>12</v>
      </c>
      <c r="J4">
        <v>1858</v>
      </c>
      <c r="K4">
        <v>-75454041.550000101</v>
      </c>
      <c r="O4" s="4"/>
      <c r="P4" t="s">
        <v>3</v>
      </c>
      <c r="Q4">
        <v>963</v>
      </c>
      <c r="R4">
        <v>305913.08</v>
      </c>
      <c r="S4">
        <v>22711850.149999999</v>
      </c>
    </row>
    <row r="5" spans="1:19" x14ac:dyDescent="0.35">
      <c r="A5">
        <v>2023</v>
      </c>
      <c r="B5">
        <v>2</v>
      </c>
      <c r="C5">
        <v>48069400.189999998</v>
      </c>
      <c r="H5">
        <v>2022</v>
      </c>
      <c r="I5">
        <v>8</v>
      </c>
      <c r="J5">
        <v>1839</v>
      </c>
      <c r="K5">
        <v>1932757.2099999499</v>
      </c>
      <c r="P5" t="s">
        <v>4</v>
      </c>
      <c r="Q5">
        <v>271</v>
      </c>
      <c r="R5">
        <v>379300.85</v>
      </c>
      <c r="S5">
        <v>21592845.09</v>
      </c>
    </row>
    <row r="6" spans="1:19" x14ac:dyDescent="0.35">
      <c r="A6">
        <v>2023</v>
      </c>
      <c r="B6">
        <v>11</v>
      </c>
      <c r="C6">
        <v>46256278.859999999</v>
      </c>
      <c r="H6">
        <v>2024</v>
      </c>
      <c r="I6">
        <v>1</v>
      </c>
      <c r="J6">
        <v>1804</v>
      </c>
      <c r="K6">
        <v>60694396.979999997</v>
      </c>
      <c r="P6" t="s">
        <v>5</v>
      </c>
      <c r="Q6">
        <v>25</v>
      </c>
      <c r="R6">
        <v>330084.65000000002</v>
      </c>
      <c r="S6">
        <v>20471093.440000001</v>
      </c>
    </row>
    <row r="7" spans="1:19" x14ac:dyDescent="0.35">
      <c r="A7">
        <v>2023</v>
      </c>
      <c r="B7">
        <v>3</v>
      </c>
      <c r="C7">
        <v>42611785.740000002</v>
      </c>
      <c r="H7">
        <v>2023</v>
      </c>
      <c r="I7">
        <v>1</v>
      </c>
      <c r="J7">
        <v>1757</v>
      </c>
      <c r="K7">
        <v>-35800795.289999999</v>
      </c>
      <c r="P7" t="s">
        <v>6</v>
      </c>
      <c r="Q7">
        <v>47</v>
      </c>
      <c r="R7">
        <v>422864.37</v>
      </c>
      <c r="S7">
        <v>18760530.440000001</v>
      </c>
    </row>
    <row r="8" spans="1:19" x14ac:dyDescent="0.35">
      <c r="A8">
        <v>2023</v>
      </c>
      <c r="B8">
        <v>12</v>
      </c>
      <c r="C8">
        <v>25406276.34</v>
      </c>
      <c r="H8">
        <v>2022</v>
      </c>
      <c r="I8">
        <v>5</v>
      </c>
      <c r="J8">
        <v>1757</v>
      </c>
      <c r="K8">
        <v>-5613161.8399999999</v>
      </c>
      <c r="P8" t="s">
        <v>7</v>
      </c>
      <c r="Q8">
        <v>146</v>
      </c>
      <c r="R8">
        <v>202417.28</v>
      </c>
      <c r="S8">
        <v>18133620.300000001</v>
      </c>
    </row>
    <row r="9" spans="1:19" x14ac:dyDescent="0.35">
      <c r="A9">
        <v>2022</v>
      </c>
      <c r="B9">
        <v>7</v>
      </c>
      <c r="C9">
        <v>20778154.579999998</v>
      </c>
      <c r="H9">
        <v>2024</v>
      </c>
      <c r="I9">
        <v>5</v>
      </c>
      <c r="J9">
        <v>1750</v>
      </c>
      <c r="K9">
        <v>-87989210.7099998</v>
      </c>
      <c r="P9" t="s">
        <v>8</v>
      </c>
      <c r="Q9">
        <v>151</v>
      </c>
      <c r="R9">
        <v>407427.94</v>
      </c>
      <c r="S9">
        <v>17732754.789999999</v>
      </c>
    </row>
    <row r="10" spans="1:19" x14ac:dyDescent="0.35">
      <c r="A10">
        <v>2023</v>
      </c>
      <c r="B10">
        <v>9</v>
      </c>
      <c r="C10">
        <v>19958133.460000001</v>
      </c>
      <c r="H10">
        <v>2023</v>
      </c>
      <c r="I10">
        <v>12</v>
      </c>
      <c r="J10">
        <v>1746</v>
      </c>
      <c r="K10">
        <v>25406276.339999899</v>
      </c>
      <c r="P10" t="s">
        <v>9</v>
      </c>
      <c r="Q10">
        <v>762</v>
      </c>
      <c r="R10">
        <v>255077.35</v>
      </c>
      <c r="S10">
        <v>17466361.030000001</v>
      </c>
    </row>
    <row r="11" spans="1:19" x14ac:dyDescent="0.35">
      <c r="A11">
        <v>2022</v>
      </c>
      <c r="B11">
        <v>10</v>
      </c>
      <c r="C11">
        <v>16567597.24</v>
      </c>
      <c r="H11">
        <v>2023</v>
      </c>
      <c r="I11">
        <v>10</v>
      </c>
      <c r="J11">
        <v>1733</v>
      </c>
      <c r="K11">
        <v>-25987653.239999998</v>
      </c>
      <c r="P11" t="s">
        <v>10</v>
      </c>
      <c r="Q11">
        <v>892</v>
      </c>
      <c r="R11">
        <v>455265.28000000003</v>
      </c>
      <c r="S11">
        <v>17258321.890000001</v>
      </c>
    </row>
    <row r="12" spans="1:19" x14ac:dyDescent="0.35">
      <c r="A12">
        <v>2023</v>
      </c>
      <c r="B12">
        <v>4</v>
      </c>
      <c r="C12">
        <v>15140162.68</v>
      </c>
      <c r="H12">
        <v>2023</v>
      </c>
      <c r="I12">
        <v>7</v>
      </c>
      <c r="J12">
        <v>1697</v>
      </c>
      <c r="K12">
        <v>1542589.9599999599</v>
      </c>
      <c r="P12" t="s">
        <v>11</v>
      </c>
      <c r="Q12">
        <v>740</v>
      </c>
      <c r="R12">
        <v>201005.38</v>
      </c>
      <c r="S12">
        <v>17093526.440000001</v>
      </c>
    </row>
    <row r="13" spans="1:19" x14ac:dyDescent="0.35">
      <c r="A13">
        <v>2023</v>
      </c>
      <c r="B13">
        <v>8</v>
      </c>
      <c r="C13">
        <v>13812296.869999999</v>
      </c>
      <c r="H13">
        <v>2023</v>
      </c>
      <c r="I13">
        <v>4</v>
      </c>
      <c r="J13">
        <v>1696</v>
      </c>
      <c r="K13">
        <v>15140162.679999899</v>
      </c>
      <c r="P13" t="s">
        <v>12</v>
      </c>
      <c r="Q13">
        <v>605</v>
      </c>
      <c r="R13">
        <v>288076.77</v>
      </c>
      <c r="S13">
        <v>16950799.670000002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A64B-6A1C-4DEF-AA80-072C47C763CA}">
  <dimension ref="A11:S11"/>
  <sheetViews>
    <sheetView showGridLines="0" topLeftCell="A6" workbookViewId="0">
      <selection activeCell="K9" sqref="K9"/>
    </sheetView>
  </sheetViews>
  <sheetFormatPr defaultRowHeight="14.5" x14ac:dyDescent="0.35"/>
  <sheetData>
    <row r="11" spans="1:19" ht="21" x14ac:dyDescent="0.5">
      <c r="A11" s="5" t="s">
        <v>27</v>
      </c>
      <c r="J11" s="5" t="s">
        <v>28</v>
      </c>
      <c r="S11" s="5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1CB1-685B-4E9F-ACD5-17CEC79AEC26}">
  <dimension ref="A3:M17"/>
  <sheetViews>
    <sheetView tabSelected="1" workbookViewId="0">
      <selection activeCell="C11" sqref="C11"/>
    </sheetView>
  </sheetViews>
  <sheetFormatPr defaultRowHeight="14.5" x14ac:dyDescent="0.35"/>
  <cols>
    <col min="1" max="1" width="12.453125" bestFit="1" customWidth="1"/>
    <col min="2" max="2" width="13.81640625" bestFit="1" customWidth="1"/>
    <col min="3" max="3" width="16.26953125" bestFit="1" customWidth="1"/>
    <col min="4" max="5" width="9.54296875" customWidth="1"/>
    <col min="6" max="6" width="9.453125" customWidth="1"/>
    <col min="7" max="7" width="12.453125" bestFit="1" customWidth="1"/>
    <col min="8" max="8" width="17.08984375" bestFit="1" customWidth="1"/>
    <col min="9" max="9" width="11.08984375" customWidth="1"/>
    <col min="10" max="10" width="10.1796875" customWidth="1"/>
    <col min="11" max="11" width="9.36328125" customWidth="1"/>
    <col min="12" max="12" width="12.453125" bestFit="1" customWidth="1"/>
    <col min="13" max="13" width="15.1796875" bestFit="1" customWidth="1"/>
  </cols>
  <sheetData>
    <row r="3" spans="1:13" x14ac:dyDescent="0.35">
      <c r="G3" s="1" t="s">
        <v>32</v>
      </c>
    </row>
    <row r="4" spans="1:13" x14ac:dyDescent="0.35">
      <c r="A4" s="1" t="s">
        <v>30</v>
      </c>
      <c r="G4" s="2" t="s">
        <v>16</v>
      </c>
      <c r="H4" s="3">
        <v>12</v>
      </c>
      <c r="L4" s="1" t="s">
        <v>31</v>
      </c>
    </row>
    <row r="6" spans="1:13" x14ac:dyDescent="0.35">
      <c r="A6" s="2" t="s">
        <v>13</v>
      </c>
      <c r="B6" t="s">
        <v>20</v>
      </c>
      <c r="C6" t="s">
        <v>15</v>
      </c>
      <c r="G6" s="2" t="s">
        <v>13</v>
      </c>
      <c r="H6" t="s">
        <v>22</v>
      </c>
      <c r="L6" s="2" t="s">
        <v>16</v>
      </c>
      <c r="M6" s="3">
        <v>1</v>
      </c>
    </row>
    <row r="7" spans="1:13" x14ac:dyDescent="0.35">
      <c r="A7" s="3">
        <v>963</v>
      </c>
      <c r="B7" s="6">
        <v>18817170.323999949</v>
      </c>
      <c r="C7" s="6">
        <v>22711850.149999999</v>
      </c>
      <c r="G7" s="3">
        <v>2022</v>
      </c>
      <c r="H7">
        <v>1858</v>
      </c>
    </row>
    <row r="8" spans="1:13" x14ac:dyDescent="0.35">
      <c r="A8" s="3">
        <v>271</v>
      </c>
      <c r="B8" s="6"/>
      <c r="C8" s="6">
        <v>21592845.09</v>
      </c>
      <c r="G8" s="3">
        <v>2023</v>
      </c>
      <c r="H8">
        <v>1746</v>
      </c>
      <c r="L8" s="2" t="s">
        <v>13</v>
      </c>
      <c r="M8" t="s">
        <v>21</v>
      </c>
    </row>
    <row r="9" spans="1:13" x14ac:dyDescent="0.35">
      <c r="A9" s="3">
        <v>25</v>
      </c>
      <c r="B9" s="6"/>
      <c r="C9" s="6">
        <v>20471093.440000001</v>
      </c>
      <c r="G9" s="3" t="s">
        <v>14</v>
      </c>
      <c r="H9">
        <v>3604</v>
      </c>
      <c r="L9" s="3">
        <v>2022</v>
      </c>
      <c r="M9">
        <v>6605497.75</v>
      </c>
    </row>
    <row r="10" spans="1:13" x14ac:dyDescent="0.35">
      <c r="A10" s="3">
        <v>47</v>
      </c>
      <c r="B10" s="6"/>
      <c r="C10" s="6">
        <v>18760530.439999901</v>
      </c>
      <c r="L10" s="3">
        <v>2023</v>
      </c>
      <c r="M10">
        <v>-35800795.289999999</v>
      </c>
    </row>
    <row r="11" spans="1:13" x14ac:dyDescent="0.35">
      <c r="A11" s="3">
        <v>146</v>
      </c>
      <c r="B11" s="6"/>
      <c r="C11" s="6">
        <v>18133620.300000001</v>
      </c>
      <c r="L11" s="3">
        <v>2024</v>
      </c>
      <c r="M11">
        <v>60694396.979999997</v>
      </c>
    </row>
    <row r="12" spans="1:13" x14ac:dyDescent="0.35">
      <c r="A12" s="3">
        <v>151</v>
      </c>
      <c r="B12" s="6"/>
      <c r="C12" s="6">
        <v>17732754.789999999</v>
      </c>
      <c r="L12" s="3" t="s">
        <v>14</v>
      </c>
      <c r="M12">
        <v>31499099.439999998</v>
      </c>
    </row>
    <row r="13" spans="1:13" x14ac:dyDescent="0.35">
      <c r="A13" s="3">
        <v>762</v>
      </c>
      <c r="B13" s="6"/>
      <c r="C13" s="6">
        <v>17466361.029999901</v>
      </c>
    </row>
    <row r="14" spans="1:13" x14ac:dyDescent="0.35">
      <c r="A14" s="3">
        <v>892</v>
      </c>
      <c r="B14" s="6"/>
      <c r="C14" s="6">
        <v>17258321.8899999</v>
      </c>
    </row>
    <row r="15" spans="1:13" x14ac:dyDescent="0.35">
      <c r="A15" s="3">
        <v>740</v>
      </c>
      <c r="B15" s="6"/>
      <c r="C15" s="6">
        <v>17093526.439999901</v>
      </c>
    </row>
    <row r="16" spans="1:13" x14ac:dyDescent="0.35">
      <c r="A16" s="3">
        <v>605</v>
      </c>
      <c r="B16" s="6"/>
      <c r="C16" s="6">
        <v>16950799.669999901</v>
      </c>
    </row>
    <row r="17" spans="1:3" x14ac:dyDescent="0.35">
      <c r="A17" s="3" t="s">
        <v>14</v>
      </c>
      <c r="B17" s="6">
        <v>18817170.323999949</v>
      </c>
      <c r="C17" s="6">
        <v>188171703.23999953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OUTPUT</vt:lpstr>
      <vt:lpstr>dashboard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Hanieh Ahmadi</cp:lastModifiedBy>
  <dcterms:created xsi:type="dcterms:W3CDTF">2026-03-03T20:24:06Z</dcterms:created>
  <dcterms:modified xsi:type="dcterms:W3CDTF">2026-04-26T18:11:27Z</dcterms:modified>
</cp:coreProperties>
</file>